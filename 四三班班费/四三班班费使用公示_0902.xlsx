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三班班费详情" sheetId="1" state="visible" r:id="rId1"/>
    <sheet name="修改说明" sheetId="2" state="visible" r:id="rId2"/>
  </sheets>
  <definedNames>
    <definedName name="_xlnm._FilterDatabase" localSheetId="0" hidden="1">'四三班班费详情'!$A$8:$F$34</definedName>
    <definedName name="_xlnm.Print_Titles" localSheetId="0">'四三班班费详情'!$1:$8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宋体"/>
      <b val="1"/>
      <color rgb="001F4E79"/>
      <sz val="16"/>
    </font>
    <font>
      <name val="宋体"/>
      <sz val="11"/>
    </font>
    <font>
      <name val="宋体"/>
      <b val="1"/>
      <sz val="12"/>
    </font>
    <font>
      <name val="宋体"/>
      <b val="1"/>
      <color rgb="00FFFFFF"/>
      <sz val="11"/>
    </font>
    <font>
      <name val="Calibri"/>
      <color rgb="00C00000"/>
      <sz val="11"/>
    </font>
    <font>
      <name val="Calibri"/>
      <sz val="11"/>
    </font>
    <font>
      <name val="宋体"/>
      <sz val="10"/>
    </font>
    <font>
      <name val="Calibri"/>
      <b val="1"/>
      <sz val="11"/>
    </font>
    <font>
      <name val="宋体"/>
      <b val="1"/>
      <sz val="11"/>
    </font>
    <font>
      <name val="Calibri"/>
      <b val="1"/>
      <color rgb="001F4E79"/>
      <sz val="12"/>
    </font>
    <font>
      <name val="宋体"/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2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8" fillId="5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2" fontId="10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2" customWidth="1" min="5" max="5"/>
    <col width="78" customWidth="1" min="6" max="6"/>
  </cols>
  <sheetData>
    <row r="1" ht="28" customHeight="1">
      <c r="A1" s="1" t="inlineStr">
        <is>
          <t>2022届（四年级三班）班费管理办法</t>
        </is>
      </c>
    </row>
    <row r="2" ht="20" customHeight="1">
      <c r="A2" s="2" t="inlineStr">
        <is>
          <t>1.2022届（四年级三班）班费为（四年级三班）班公共资源使用，不得用于其他用途</t>
        </is>
      </c>
    </row>
    <row r="3" ht="20" customHeight="1">
      <c r="A3" s="2" t="inlineStr">
        <is>
          <t>2.班费由家委会委员管理使用，资金由家委会代为保管</t>
        </is>
      </c>
    </row>
    <row r="4" ht="20" customHeight="1">
      <c r="A4" s="2" t="inlineStr">
        <is>
          <t>3.家委会成员：刘林溪妈妈、闫锦轩妈妈、黄成璋妈妈、田家瑞爸爸、闫铭宇爸爸、商奕娜妈妈、陈玟君爸爸、赵卉垚妈妈、刘瑾瑶妈妈</t>
        </is>
      </c>
    </row>
    <row r="5" ht="20" customHeight="1">
      <c r="A5" s="2" t="inlineStr">
        <is>
          <t>4.每次使用班费时将进行公示，全班家长均有权监督班费使用情况，如果异议请及时提出</t>
        </is>
      </c>
    </row>
    <row r="6" ht="20" customHeight="1">
      <c r="A6" s="2" t="inlineStr">
        <is>
          <t>5.班费使用情况会公布在群共享里，会根据使用情况及时更新</t>
        </is>
      </c>
    </row>
    <row r="7" ht="20" customHeight="1">
      <c r="A7" s="3" t="inlineStr">
        <is>
          <t>班费明细如下：</t>
        </is>
      </c>
    </row>
    <row r="8" ht="22" customHeight="1">
      <c r="A8" s="4" t="inlineStr">
        <is>
          <t>日期</t>
        </is>
      </c>
      <c r="B8" s="4" t="inlineStr">
        <is>
          <t>摘要</t>
        </is>
      </c>
      <c r="C8" s="4" t="inlineStr">
        <is>
          <t>收入</t>
        </is>
      </c>
      <c r="D8" s="4" t="inlineStr">
        <is>
          <t>支出</t>
        </is>
      </c>
      <c r="E8" s="4" t="inlineStr">
        <is>
          <t>余额</t>
        </is>
      </c>
      <c r="F8" s="4" t="inlineStr">
        <is>
          <t>备注</t>
        </is>
      </c>
    </row>
    <row r="9" ht="20" customHeight="1">
      <c r="A9" s="5" t="inlineStr">
        <is>
          <t>2025.8.30</t>
        </is>
      </c>
      <c r="B9" s="6" t="inlineStr">
        <is>
          <t>班费</t>
        </is>
      </c>
      <c r="C9" s="7" t="n">
        <v>-71.05</v>
      </c>
      <c r="D9" s="8" t="n"/>
      <c r="E9" s="9">
        <f>IF(OR(C9&lt;&gt;"",D9&lt;&gt;""),ROUND(N(C9)-N(D9),2),"")</f>
        <v/>
      </c>
      <c r="F9" s="10" t="inlineStr">
        <is>
          <t>三年级结转班费（超支71.05元）</t>
        </is>
      </c>
    </row>
    <row r="10" ht="20" customHeight="1">
      <c r="A10" s="11" t="inlineStr">
        <is>
          <t>2025.8.30</t>
        </is>
      </c>
      <c r="B10" s="12" t="inlineStr">
        <is>
          <t>开学保洁</t>
        </is>
      </c>
      <c r="C10" s="13" t="n"/>
      <c r="D10" s="14" t="n">
        <v>120</v>
      </c>
      <c r="E10" s="15">
        <f>IF(OR(C10&lt;&gt;"",D10&lt;&gt;""),ROUND(N(E9)+N(C10)-N(D10),2),"")</f>
        <v/>
      </c>
      <c r="F10" s="16" t="inlineStr">
        <is>
          <t>刘林溪妈妈组织一次新教室的保洁</t>
        </is>
      </c>
    </row>
    <row r="11" ht="20" customHeight="1">
      <c r="A11" s="5" t="inlineStr">
        <is>
          <t>2025.8.30</t>
        </is>
      </c>
      <c r="B11" s="6" t="inlineStr">
        <is>
          <t>消毒等清洁用品购买</t>
        </is>
      </c>
      <c r="C11" s="8" t="n"/>
      <c r="D11" s="14" t="n">
        <v>95.7</v>
      </c>
      <c r="E11" s="9">
        <f>IF(OR(C11&lt;&gt;"",D11&lt;&gt;""),ROUND(N(E10)+N(C11)-N(D11),2),"")</f>
        <v/>
      </c>
      <c r="F11" s="10" t="inlineStr">
        <is>
          <t>刘林溪妈妈组织统一购买消毒用品</t>
        </is>
      </c>
    </row>
    <row r="12" ht="20" customHeight="1">
      <c r="A12" s="11" t="inlineStr">
        <is>
          <t>2025.9.3</t>
        </is>
      </c>
      <c r="B12" s="12" t="inlineStr">
        <is>
          <t>统一收取四年级班费</t>
        </is>
      </c>
      <c r="C12" s="17" t="n">
        <v>11400</v>
      </c>
      <c r="D12" s="13" t="n"/>
      <c r="E12" s="18">
        <f>IF(OR(C12&lt;&gt;"",D12&lt;&gt;""),ROUND(N(E11)+N(C12)-N(D12),2),"")</f>
        <v/>
      </c>
      <c r="F12" s="16" t="inlineStr">
        <is>
          <t>统一收取班费：11400=38*300</t>
        </is>
      </c>
    </row>
    <row r="13" ht="20" customHeight="1">
      <c r="A13" s="5" t="inlineStr">
        <is>
          <t>2025.9.3</t>
        </is>
      </c>
      <c r="B13" s="6" t="inlineStr">
        <is>
          <t>购买黑板报材料</t>
        </is>
      </c>
      <c r="C13" s="8" t="n"/>
      <c r="D13" s="14" t="n">
        <v>138.3</v>
      </c>
      <c r="E13" s="19">
        <f>IF(OR(C13&lt;&gt;"",D13&lt;&gt;""),ROUND(N(E12)+N(C13)-N(D13),2),"")</f>
        <v/>
      </c>
      <c r="F13" s="10" t="inlineStr">
        <is>
          <t>王思茵妈妈购买黑板报材料</t>
        </is>
      </c>
    </row>
    <row r="14" ht="32" customHeight="1">
      <c r="A14" s="11" t="inlineStr">
        <is>
          <t>2025.9.7</t>
        </is>
      </c>
      <c r="B14" s="12" t="inlineStr">
        <is>
          <t>购买教师节礼物</t>
        </is>
      </c>
      <c r="C14" s="13" t="n"/>
      <c r="D14" s="14" t="n">
        <v>338</v>
      </c>
      <c r="E14" s="18">
        <f>IF(OR(C14&lt;&gt;"",D14&lt;&gt;""),ROUND(N(E13)+N(C14)-N(D14),2),"")</f>
        <v/>
      </c>
      <c r="F14" s="16" t="inlineStr">
        <is>
          <t>商奕娜妈妈购买教师节礼物：338=246.5（薄荷糖）+ 91.5（鲜花）</t>
        </is>
      </c>
    </row>
    <row r="15" ht="32" customHeight="1">
      <c r="A15" s="5" t="inlineStr">
        <is>
          <t>2025.9.9</t>
        </is>
      </c>
      <c r="B15" s="6" t="inlineStr">
        <is>
          <t>统一购买新编小学生古诗词</t>
        </is>
      </c>
      <c r="C15" s="8" t="n"/>
      <c r="D15" s="14" t="n">
        <v>608</v>
      </c>
      <c r="E15" s="19">
        <f>IF(OR(C15&lt;&gt;"",D15&lt;&gt;""),ROUND(N(E14)+N(C15)-N(D15),2),"")</f>
        <v/>
      </c>
      <c r="F15" s="10" t="inlineStr">
        <is>
          <t>按38人购买：608=16*38；其中36人购买（576=16*36），剩余2人未购买，待退32=16*2</t>
        </is>
      </c>
    </row>
    <row r="16" ht="20" customHeight="1">
      <c r="A16" s="11" t="inlineStr">
        <is>
          <t>2025.9.10</t>
        </is>
      </c>
      <c r="B16" s="12" t="inlineStr">
        <is>
          <t>退还部分教师节买的礼物</t>
        </is>
      </c>
      <c r="C16" s="17" t="n">
        <v>147.9</v>
      </c>
      <c r="D16" s="13" t="n"/>
      <c r="E16" s="18">
        <f>IF(OR(C16&lt;&gt;"",D16&lt;&gt;""),ROUND(N(E15)+N(C16)-N(D16),2),"")</f>
        <v/>
      </c>
      <c r="F16" s="16" t="inlineStr">
        <is>
          <t>部分老师没有收礼物，退回了两份糖</t>
        </is>
      </c>
    </row>
    <row r="17" ht="20" customHeight="1">
      <c r="A17" s="5" t="inlineStr">
        <is>
          <t>2025.9.27</t>
        </is>
      </c>
      <c r="B17" s="6" t="inlineStr">
        <is>
          <t>班级统一购买课外书籍</t>
        </is>
      </c>
      <c r="C17" s="8" t="n"/>
      <c r="D17" s="14" t="n">
        <v>291.1</v>
      </c>
      <c r="E17" s="19">
        <f>IF(OR(C17&lt;&gt;"",D17&lt;&gt;""),ROUND(N(E16)+N(C17)-N(D17),2),"")</f>
        <v/>
      </c>
      <c r="F17" s="10" t="inlineStr">
        <is>
          <t>陈玟君爸爸购买统一的课外书籍放到教室书架</t>
        </is>
      </c>
    </row>
    <row r="18" ht="20" customHeight="1">
      <c r="A18" s="11" t="inlineStr">
        <is>
          <t>2025.9.27</t>
        </is>
      </c>
      <c r="B18" s="12" t="inlineStr">
        <is>
          <t>购买书籍印章</t>
        </is>
      </c>
      <c r="C18" s="13" t="n"/>
      <c r="D18" s="14" t="n">
        <v>27</v>
      </c>
      <c r="E18" s="18">
        <f>IF(OR(C18&lt;&gt;"",D18&lt;&gt;""),ROUND(N(E17)+N(C18)-N(D18),2),"")</f>
        <v/>
      </c>
      <c r="F18" s="16" t="inlineStr">
        <is>
          <t>王思茵妈妈购买图书印章</t>
        </is>
      </c>
    </row>
    <row r="19" ht="32" customHeight="1">
      <c r="A19" s="5" t="inlineStr">
        <is>
          <t>2025.9.27</t>
        </is>
      </c>
      <c r="B19" s="6" t="inlineStr">
        <is>
          <t>教室定期保洁和购买必读书目</t>
        </is>
      </c>
      <c r="C19" s="8" t="n"/>
      <c r="D19" s="14" t="n">
        <v>372.4</v>
      </c>
      <c r="E19" s="19">
        <f>IF(OR(C19&lt;&gt;"",D19&lt;&gt;""),ROUND(N(E18)+N(C19)-N(D19),2),"")</f>
        <v/>
      </c>
      <c r="F19" s="10" t="inlineStr">
        <is>
          <t>刘林溪妈妈统一组织了四次保洁加购买一些必读书：80*4+14.8+23.8+13.8=372.4</t>
        </is>
      </c>
    </row>
    <row r="20" ht="20" customHeight="1">
      <c r="A20" s="11" t="inlineStr">
        <is>
          <t>2025.11.30</t>
        </is>
      </c>
      <c r="B20" s="12" t="inlineStr">
        <is>
          <t>教室定期保洁</t>
        </is>
      </c>
      <c r="C20" s="13" t="n"/>
      <c r="D20" s="14" t="n">
        <v>480</v>
      </c>
      <c r="E20" s="18">
        <f>IF(OR(C20&lt;&gt;"",D20&lt;&gt;""),ROUND(N(E19)+N(C20)-N(D20),2),"")</f>
        <v/>
      </c>
      <c r="F20" s="16" t="inlineStr">
        <is>
          <t>10月/11月刘林溪妈妈统一组织六次保洁，480=6*80</t>
        </is>
      </c>
    </row>
    <row r="21" ht="20" customHeight="1">
      <c r="A21" s="5" t="inlineStr">
        <is>
          <t>2025.12.17</t>
        </is>
      </c>
      <c r="B21" s="6" t="inlineStr">
        <is>
          <t>统一购买图书</t>
        </is>
      </c>
      <c r="C21" s="8" t="n"/>
      <c r="D21" s="14" t="n">
        <v>450</v>
      </c>
      <c r="E21" s="19">
        <f>IF(OR(C21&lt;&gt;"",D21&lt;&gt;""),ROUND(N(E20)+N(C21)-N(D21),2),"")</f>
        <v/>
      </c>
      <c r="F21" s="10" t="inlineStr">
        <is>
          <t>陈玟君爸爸购买20本《世说新语》450=22.5*20</t>
        </is>
      </c>
    </row>
    <row r="22" ht="20" customHeight="1">
      <c r="A22" s="11" t="inlineStr">
        <is>
          <t>2025.12.17</t>
        </is>
      </c>
      <c r="B22" s="12" t="inlineStr">
        <is>
          <t>统一购买图书</t>
        </is>
      </c>
      <c r="C22" s="13" t="n"/>
      <c r="D22" s="14" t="n">
        <v>434.76</v>
      </c>
      <c r="E22" s="18">
        <f>IF(OR(C22&lt;&gt;"",D22&lt;&gt;""),ROUND(N(E21)+N(C22)-N(D22),2),"")</f>
        <v/>
      </c>
      <c r="F22" s="16" t="inlineStr">
        <is>
          <t>王思茵妈妈购买19本《世说新语》共：434.76</t>
        </is>
      </c>
    </row>
    <row r="23" ht="20" customHeight="1">
      <c r="A23" s="5" t="inlineStr">
        <is>
          <t>2025.12.17</t>
        </is>
      </c>
      <c r="B23" s="6" t="inlineStr">
        <is>
          <t>班级黑板报材料费</t>
        </is>
      </c>
      <c r="C23" s="8" t="n"/>
      <c r="D23" s="14" t="n">
        <v>54.71</v>
      </c>
      <c r="E23" s="19">
        <f>IF(OR(C23&lt;&gt;"",D23&lt;&gt;""),ROUND(N(E22)+N(C23)-N(D23),2),"")</f>
        <v/>
      </c>
      <c r="F23" s="10" t="inlineStr">
        <is>
          <t>王思茵妈妈购买黑板报需要的材料，共：54.71</t>
        </is>
      </c>
    </row>
    <row r="24" ht="20" customHeight="1">
      <c r="A24" s="11" t="inlineStr">
        <is>
          <t>2026.1.6</t>
        </is>
      </c>
      <c r="B24" s="12" t="inlineStr">
        <is>
          <t>12月保洁费用</t>
        </is>
      </c>
      <c r="C24" s="13" t="n"/>
      <c r="D24" s="14" t="n">
        <v>320</v>
      </c>
      <c r="E24" s="18">
        <f>IF(OR(C24&lt;&gt;"",D24&lt;&gt;""),ROUND(N(E23)+N(C24)-N(D24),2),"")</f>
        <v/>
      </c>
      <c r="F24" s="16" t="inlineStr">
        <is>
          <t>12月份做了四次保洁320=80*4</t>
        </is>
      </c>
    </row>
    <row r="25" ht="20" customHeight="1">
      <c r="A25" s="5" t="inlineStr">
        <is>
          <t>2026.1.6</t>
        </is>
      </c>
      <c r="B25" s="6" t="inlineStr">
        <is>
          <t>统一购买习字册和作文本</t>
        </is>
      </c>
      <c r="C25" s="8" t="n"/>
      <c r="D25" s="14" t="n">
        <v>284.6</v>
      </c>
      <c r="E25" s="19">
        <f>IF(OR(C25&lt;&gt;"",D25&lt;&gt;""),ROUND(N(E24)+N(C25)-N(D25),2),"")</f>
        <v/>
      </c>
      <c r="F25" s="10" t="inlineStr">
        <is>
          <t>刘林溪妈妈统一购买习字册和作文本284.6=56.6+228</t>
        </is>
      </c>
    </row>
    <row r="26" ht="20" customHeight="1">
      <c r="A26" s="11" t="inlineStr">
        <is>
          <t>2026.2.12</t>
        </is>
      </c>
      <c r="B26" s="12" t="inlineStr">
        <is>
          <t>1月保洁费用</t>
        </is>
      </c>
      <c r="C26" s="13" t="n"/>
      <c r="D26" s="14" t="n">
        <v>320</v>
      </c>
      <c r="E26" s="18">
        <f>IF(OR(C26&lt;&gt;"",D26&lt;&gt;""),ROUND(N(E25)+N(C26)-N(D26),2),"")</f>
        <v/>
      </c>
      <c r="F26" s="16" t="inlineStr">
        <is>
          <t>1月份四次保洁费用320=4*80</t>
        </is>
      </c>
    </row>
    <row r="27" ht="20" customHeight="1">
      <c r="A27" s="5" t="inlineStr">
        <is>
          <t>2026.3.27</t>
        </is>
      </c>
      <c r="B27" s="6" t="inlineStr">
        <is>
          <t>黑板报材料费用</t>
        </is>
      </c>
      <c r="C27" s="8" t="n"/>
      <c r="D27" s="14" t="n">
        <v>56</v>
      </c>
      <c r="E27" s="19">
        <f>IF(OR(C27&lt;&gt;"",D27&lt;&gt;""),ROUND(N(E26)+N(C27)-N(D27),2),"")</f>
        <v/>
      </c>
      <c r="F27" s="10" t="inlineStr">
        <is>
          <t>王思茵妈妈购买黑板报材料的费用</t>
        </is>
      </c>
    </row>
    <row r="28" ht="20" customHeight="1">
      <c r="A28" s="11" t="inlineStr">
        <is>
          <t>2026.3.27</t>
        </is>
      </c>
      <c r="B28" s="12" t="inlineStr">
        <is>
          <t>统一购买毛笔写字帖</t>
        </is>
      </c>
      <c r="C28" s="13" t="n"/>
      <c r="D28" s="14" t="n">
        <v>732.6</v>
      </c>
      <c r="E28" s="18">
        <f>IF(OR(C28&lt;&gt;"",D28&lt;&gt;""),ROUND(N(E27)+N(C28)-N(D28),2),"")</f>
        <v/>
      </c>
      <c r="F28" s="16" t="inlineStr">
        <is>
          <t>王思茵妈妈统一购买毛笔写字帖732.6</t>
        </is>
      </c>
    </row>
    <row r="29" ht="32" customHeight="1">
      <c r="A29" s="5" t="inlineStr">
        <is>
          <t>2026.3.27</t>
        </is>
      </c>
      <c r="B29" s="6" t="inlineStr">
        <is>
          <t>统一购买毛笔费用</t>
        </is>
      </c>
      <c r="C29" s="8" t="n"/>
      <c r="D29" s="14" t="n">
        <v>1140</v>
      </c>
      <c r="E29" s="19">
        <f>IF(OR(C29&lt;&gt;"",D29&lt;&gt;""),ROUND(N(E28)+N(C29)-N(D29),2),"")</f>
        <v/>
      </c>
      <c r="F29" s="10" t="inlineStr">
        <is>
          <t>刘林溪妈妈统一购买毛笔：1140=30*38；其中36人使用（1080=30*36），需退给刘恩绮、张牧也每人30元（待退60元）</t>
        </is>
      </c>
    </row>
    <row r="30" ht="20" customHeight="1">
      <c r="A30" s="11" t="inlineStr">
        <is>
          <t>2026.3.27</t>
        </is>
      </c>
      <c r="B30" s="12" t="inlineStr">
        <is>
          <t>3月份保洁费用</t>
        </is>
      </c>
      <c r="C30" s="13" t="n"/>
      <c r="D30" s="14" t="n">
        <v>240</v>
      </c>
      <c r="E30" s="18">
        <f>IF(OR(C30&lt;&gt;"",D30&lt;&gt;""),ROUND(N(E29)+N(C30)-N(D30),2),"")</f>
        <v/>
      </c>
      <c r="F30" s="16" t="inlineStr">
        <is>
          <t>3月份三次保洁费用240=3*80</t>
        </is>
      </c>
    </row>
    <row r="31" ht="32" customHeight="1">
      <c r="A31" s="5" t="inlineStr">
        <is>
          <t>2026.3.28</t>
        </is>
      </c>
      <c r="B31" s="6" t="inlineStr">
        <is>
          <t>为班级购买书架</t>
        </is>
      </c>
      <c r="C31" s="8" t="n"/>
      <c r="D31" s="14" t="n">
        <v>300</v>
      </c>
      <c r="E31" s="19">
        <f>IF(OR(C31&lt;&gt;"",D31&lt;&gt;""),ROUND(N(E30)+N(C31)-N(D31),2),"")</f>
        <v/>
      </c>
      <c r="F31" s="10" t="inlineStr">
        <is>
          <t>陈玟君爸爸统一为班级购买书架并安装，书架费用：300； 安装免费，哈哈~</t>
        </is>
      </c>
    </row>
    <row r="32" ht="20" customHeight="1">
      <c r="A32" s="11" t="inlineStr">
        <is>
          <t>2026.5.6</t>
        </is>
      </c>
      <c r="B32" s="12" t="inlineStr">
        <is>
          <t>4月份保洁费用</t>
        </is>
      </c>
      <c r="C32" s="13" t="n"/>
      <c r="D32" s="14" t="n">
        <v>320</v>
      </c>
      <c r="E32" s="18">
        <f>IF(OR(C32&lt;&gt;"",D32&lt;&gt;""),ROUND(N(E31)+N(C32)-N(D32),2),"")</f>
        <v/>
      </c>
      <c r="F32" s="16" t="inlineStr">
        <is>
          <t>4月份四次保洁费用320=4*80</t>
        </is>
      </c>
    </row>
    <row r="33" ht="20" customHeight="1">
      <c r="A33" s="5" t="inlineStr">
        <is>
          <t>2026.6.8</t>
        </is>
      </c>
      <c r="B33" s="6" t="inlineStr">
        <is>
          <t>5月份保洁费用</t>
        </is>
      </c>
      <c r="C33" s="8" t="n"/>
      <c r="D33" s="14" t="n">
        <v>400</v>
      </c>
      <c r="E33" s="19">
        <f>IF(OR(C33&lt;&gt;"",D33&lt;&gt;""),ROUND(N(E32)+N(C33)-N(D33),2),"")</f>
        <v/>
      </c>
      <c r="F33" s="10" t="inlineStr">
        <is>
          <t>5月份五次保洁费用400=5*80</t>
        </is>
      </c>
    </row>
    <row r="34" ht="20" customHeight="1">
      <c r="A34" s="11" t="inlineStr">
        <is>
          <t>2026.7.22</t>
        </is>
      </c>
      <c r="B34" s="12" t="inlineStr">
        <is>
          <t>6月份保洁费用</t>
        </is>
      </c>
      <c r="C34" s="13" t="n"/>
      <c r="D34" s="14" t="n">
        <v>240</v>
      </c>
      <c r="E34" s="18">
        <f>IF(OR(C34&lt;&gt;"",D34&lt;&gt;""),ROUND(N(E33)+N(C34)-N(D34),2),"")</f>
        <v/>
      </c>
      <c r="F34" s="16" t="inlineStr">
        <is>
          <t>6月份三次保洁费用240=3*80</t>
        </is>
      </c>
    </row>
    <row r="35" ht="22" customHeight="1">
      <c r="A35" s="20" t="inlineStr">
        <is>
          <t>合计 / 期末余额</t>
        </is>
      </c>
      <c r="B35" s="26" t="n"/>
      <c r="C35" s="22">
        <f>SUM(C10:C34)</f>
        <v/>
      </c>
      <c r="D35" s="23">
        <f>SUM(D9:D34)</f>
        <v/>
      </c>
      <c r="E35" s="24">
        <f>E34</f>
        <v/>
      </c>
      <c r="F35" s="25" t="inlineStr">
        <is>
          <t>期末余额 = 期初结转(C9) + 收入合计 − 支出合计</t>
        </is>
      </c>
    </row>
  </sheetData>
  <autoFilter ref="A8:F34"/>
  <mergeCells count="8">
    <mergeCell ref="A2:F2"/>
    <mergeCell ref="A1:F1"/>
    <mergeCell ref="A5:F5"/>
    <mergeCell ref="A6:F6"/>
    <mergeCell ref="A4:F4"/>
    <mergeCell ref="A3:F3"/>
    <mergeCell ref="A7:F7"/>
    <mergeCell ref="A35:B35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0" customWidth="1" min="3" max="3"/>
    <col width="46" customWidth="1" min="4" max="4"/>
  </cols>
  <sheetData>
    <row r="1" ht="24" customHeight="1">
      <c r="A1" s="27" t="inlineStr">
        <is>
          <t>四三班班费详情 · 核对修改说明（2026-09-02）</t>
        </is>
      </c>
    </row>
    <row r="2" ht="32" customHeight="1">
      <c r="A2" s="28" t="inlineStr">
        <is>
          <t>流水余额逐笔复核通过：期初 -71.05 + 收入 11547.90 − 支出 7763.17 = 期末 3713.68。下列为描述或记账方式错误，已改。</t>
        </is>
      </c>
    </row>
    <row r="3">
      <c r="A3" s="4" t="inlineStr">
        <is>
          <t>类别</t>
        </is>
      </c>
      <c r="B3" s="4" t="inlineStr">
        <is>
          <t>原内容</t>
        </is>
      </c>
      <c r="C3" s="4" t="inlineStr">
        <is>
          <t>修改后</t>
        </is>
      </c>
      <c r="D3" s="4" t="inlineStr">
        <is>
          <t>原因</t>
        </is>
      </c>
    </row>
    <row r="4" ht="36" customHeight="1">
      <c r="A4" s="16" t="inlineStr">
        <is>
          <t>管理办法</t>
        </is>
      </c>
      <c r="B4" s="16" t="inlineStr">
        <is>
          <t>1.…（三年级三班）…不得用于其他</t>
        </is>
      </c>
      <c r="C4" s="16" t="inlineStr">
        <is>
          <t>改为四年级三班，并补全「不得用于其他用途」</t>
        </is>
      </c>
      <c r="D4" s="16" t="inlineStr">
        <is>
          <t>已升入四年级，条文未同步；句子不完整</t>
        </is>
      </c>
    </row>
    <row r="5" ht="36" customHeight="1">
      <c r="A5" s="29" t="inlineStr">
        <is>
          <t>摘要用词</t>
        </is>
      </c>
      <c r="B5" s="29" t="inlineStr">
        <is>
          <t>统一收取四年级上班费</t>
        </is>
      </c>
      <c r="C5" s="29" t="inlineStr">
        <is>
          <t>统一收取四年级班费</t>
        </is>
      </c>
      <c r="D5" s="29" t="inlineStr">
        <is>
          <t>「上」字多余，语义不通</t>
        </is>
      </c>
    </row>
    <row r="6" ht="48" customHeight="1">
      <c r="A6" s="16" t="inlineStr">
        <is>
          <t>日期顺序</t>
        </is>
      </c>
      <c r="B6" s="16" t="inlineStr">
        <is>
          <t>9.9 古诗词写在 9.7 教师节礼物之前</t>
        </is>
      </c>
      <c r="C6" s="16" t="inlineStr">
        <is>
          <t>按日期调整为 9.7 礼物 → 9.9 古诗词，并重算这两笔中间余额</t>
        </is>
      </c>
      <c r="D6" s="16" t="inlineStr">
        <is>
          <t>明细未按时间顺序，中间余额曾对不上观感</t>
        </is>
      </c>
    </row>
    <row r="7" ht="36" customHeight="1">
      <c r="A7" s="29" t="inlineStr">
        <is>
          <t>中间余额</t>
        </is>
      </c>
      <c r="B7" s="29" t="inlineStr">
        <is>
          <t>教师节礼物后余额 10028.95（当时排在古诗词后）</t>
        </is>
      </c>
      <c r="C7" s="29" t="inlineStr">
        <is>
          <t>调序后：礼物后 10636.95，古诗词后仍为 10028.95</t>
        </is>
      </c>
      <c r="D7" s="29" t="inlineStr">
        <is>
          <t>只影响中间两行余额，后续余额不变</t>
        </is>
      </c>
    </row>
    <row r="8" ht="36" customHeight="1">
      <c r="A8" s="16" t="inlineStr">
        <is>
          <t>退款记账</t>
        </is>
      </c>
      <c r="B8" s="16" t="inlineStr">
        <is>
          <t>教师节退糖 147.9 记在「支出」为 -147.9</t>
        </is>
      </c>
      <c r="C8" s="16" t="inlineStr">
        <is>
          <t>改记「收入」147.9，余额仍为 10176.85</t>
        </is>
      </c>
      <c r="D8" s="16" t="inlineStr">
        <is>
          <t>退款不应记负支出，收入/支出列含义更清楚</t>
        </is>
      </c>
    </row>
    <row r="9" ht="36" customHeight="1">
      <c r="A9" s="29" t="inlineStr">
        <is>
          <t>错别字</t>
        </is>
      </c>
      <c r="B9" s="29" t="inlineStr">
        <is>
          <t>教师定期保洁 / 必读数目</t>
        </is>
      </c>
      <c r="C9" s="29" t="inlineStr">
        <is>
          <t>教室定期保洁 / 必读书目</t>
        </is>
      </c>
      <c r="D9" s="29" t="inlineStr">
        <is>
          <t>教室≠教师；书目≠数目</t>
        </is>
      </c>
    </row>
    <row r="10" ht="36" customHeight="1">
      <c r="A10" s="16" t="inlineStr">
        <is>
          <t>次数与金额不符</t>
        </is>
      </c>
      <c r="B10" s="16" t="inlineStr">
        <is>
          <t>5月份四次保洁费用 400=5*80</t>
        </is>
      </c>
      <c r="C10" s="16" t="inlineStr">
        <is>
          <t>5月份五次保洁费用 400=5*80</t>
        </is>
      </c>
      <c r="D10" s="16" t="inlineStr">
        <is>
          <t>「四次」与 5×80=400 矛盾，按金额与算式改为五次</t>
        </is>
      </c>
    </row>
    <row r="11" ht="36" customHeight="1">
      <c r="A11" s="29" t="inlineStr">
        <is>
          <t>待退说明</t>
        </is>
      </c>
      <c r="B11" s="29" t="inlineStr">
        <is>
          <t>古诗词：写「退还费用32」但支出仍是 608</t>
        </is>
      </c>
      <c r="C11" s="29" t="inlineStr">
        <is>
          <t>写明按 38 人买 608=16×38，2 人未买待退 32</t>
        </is>
      </c>
      <c r="D11" s="29" t="inlineStr">
        <is>
          <t>与毛笔「待退」口径一致，避免误以为已退、支出应是 576</t>
        </is>
      </c>
    </row>
    <row r="12" ht="36" customHeight="1">
      <c r="A12" s="16" t="inlineStr">
        <is>
          <t>待退说明</t>
        </is>
      </c>
      <c r="B12" s="16" t="inlineStr">
        <is>
          <t>毛笔备注 1080=30*36，总 1140，待退表述较散</t>
        </is>
      </c>
      <c r="C12" s="16" t="inlineStr">
        <is>
          <t>写明 1140=30×38，2 人待退各 30 元（共 60）</t>
        </is>
      </c>
      <c r="D12" s="16" t="inlineStr">
        <is>
          <t>算式与待退对象一次说清</t>
        </is>
      </c>
    </row>
    <row r="13" ht="48" customHeight="1">
      <c r="A13" s="29" t="inlineStr">
        <is>
          <t>期初备注</t>
        </is>
      </c>
      <c r="B13" s="29" t="inlineStr">
        <is>
          <t>三年级结余班费，收入列为 -71.05</t>
        </is>
      </c>
      <c r="C13" s="29" t="inlineStr">
        <is>
          <t>三年级结转班费（超支71.05元）</t>
        </is>
      </c>
      <c r="D13" s="29" t="inlineStr">
        <is>
          <t>「结余」一般指剩钱；账面是负数，按账面改为超支结转。若三年级实际剩 +71.05，则期初符号记反，其后余额均需 +142.10</t>
        </is>
      </c>
    </row>
    <row r="14" ht="36" customHeight="1">
      <c r="A14" s="16" t="inlineStr">
        <is>
          <t>余额小数</t>
        </is>
      </c>
      <c r="B14" s="16" t="inlineStr">
        <is>
          <t>6353.679999999999 等浮点尾巴</t>
        </is>
      </c>
      <c r="C14" s="16" t="inlineStr">
        <is>
          <t>统一为两位小数 6353.68 … 期末 3713.68</t>
        </is>
      </c>
      <c r="D14" s="16" t="inlineStr">
        <is>
          <t>Excel 浮点显示问题，金额本身无误</t>
        </is>
      </c>
    </row>
    <row r="15" ht="36" customHeight="1">
      <c r="A15" s="29" t="inlineStr">
        <is>
          <t>未改动</t>
        </is>
      </c>
      <c r="B15" s="29" t="inlineStr">
        <is>
          <t>19本《世说新语》434.76（约 22.88/本）</t>
        </is>
      </c>
      <c r="C15" s="29" t="inlineStr">
        <is>
          <t>金额未改</t>
        </is>
      </c>
      <c r="D15" s="29" t="inlineStr">
        <is>
          <t>另一批 20 本是 22.5/本，单价不同，无凭证不改金额</t>
        </is>
      </c>
    </row>
    <row r="16" ht="36" customHeight="1">
      <c r="A16" s="16" t="inlineStr">
        <is>
          <t>未改动</t>
        </is>
      </c>
      <c r="B16" s="16" t="inlineStr">
        <is>
          <t>无 2 月保洁记录</t>
        </is>
      </c>
      <c r="C16" s="16" t="inlineStr">
        <is>
          <t>未补记</t>
        </is>
      </c>
      <c r="D16" s="16" t="inlineStr">
        <is>
          <t>2 月多为寒假，可能确实未做，缺凭证不补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2026-09-02T01:53:15Z</dcterms:created>
  <dcterms:modified xsi:type="dcterms:W3CDTF">2026-09-02T01:54:09Z</dcterms:modified>
</cp:coreProperties>
</file>